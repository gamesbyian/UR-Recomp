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TAS Stuff\Uniracers\Docs\"/>
    </mc:Choice>
  </mc:AlternateContent>
  <bookViews>
    <workbookView xWindow="480" yWindow="90" windowWidth="11475" windowHeight="113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62" i="1" l="1"/>
  <c r="E62" i="1" s="1"/>
  <c r="D61" i="1"/>
  <c r="E61" i="1" s="1"/>
  <c r="D60" i="1"/>
  <c r="E60" i="1" s="1"/>
  <c r="D59" i="1"/>
  <c r="E59" i="1" s="1"/>
  <c r="D58" i="1"/>
  <c r="E58" i="1" s="1"/>
  <c r="D55" i="1"/>
  <c r="E55" i="1" s="1"/>
  <c r="D54" i="1"/>
  <c r="E54" i="1" s="1"/>
  <c r="D53" i="1"/>
  <c r="E53" i="1" s="1"/>
  <c r="D52" i="1"/>
  <c r="E52" i="1" s="1"/>
  <c r="D51" i="1"/>
  <c r="E51" i="1" s="1"/>
  <c r="D48" i="1"/>
  <c r="E48" i="1" s="1"/>
  <c r="D47" i="1"/>
  <c r="E47" i="1" s="1"/>
  <c r="D46" i="1"/>
  <c r="E46" i="1" s="1"/>
  <c r="D45" i="1"/>
  <c r="E45" i="1" s="1"/>
  <c r="D44" i="1"/>
  <c r="E44" i="1" s="1"/>
  <c r="D41" i="1"/>
  <c r="E41" i="1" s="1"/>
  <c r="D40" i="1"/>
  <c r="E40" i="1" s="1"/>
  <c r="D39" i="1"/>
  <c r="E39" i="1" s="1"/>
  <c r="D38" i="1"/>
  <c r="E38" i="1" s="1"/>
  <c r="D37" i="1"/>
  <c r="E37" i="1" s="1"/>
  <c r="D34" i="1"/>
  <c r="E34" i="1" s="1"/>
  <c r="D33" i="1"/>
  <c r="E33" i="1" s="1"/>
  <c r="D32" i="1"/>
  <c r="E32" i="1" s="1"/>
  <c r="D31" i="1"/>
  <c r="E31" i="1" s="1"/>
  <c r="D30" i="1"/>
  <c r="E30" i="1" s="1"/>
  <c r="D27" i="1"/>
  <c r="E27" i="1" s="1"/>
  <c r="D26" i="1"/>
  <c r="E26" i="1" s="1"/>
  <c r="D25" i="1"/>
  <c r="E25" i="1" s="1"/>
  <c r="D24" i="1"/>
  <c r="E24" i="1" s="1"/>
  <c r="D23" i="1"/>
  <c r="E23" i="1" s="1"/>
  <c r="D20" i="1"/>
  <c r="E20" i="1" s="1"/>
  <c r="D19" i="1"/>
  <c r="E19" i="1" s="1"/>
  <c r="D18" i="1"/>
  <c r="E18" i="1" s="1"/>
  <c r="D17" i="1"/>
  <c r="E17" i="1" s="1"/>
  <c r="D16" i="1"/>
  <c r="E16" i="1" s="1"/>
  <c r="D13" i="1"/>
  <c r="E13" i="1" s="1"/>
  <c r="D12" i="1"/>
  <c r="E12" i="1" s="1"/>
  <c r="D11" i="1"/>
  <c r="E11" i="1" s="1"/>
  <c r="D10" i="1"/>
  <c r="E10" i="1" s="1"/>
  <c r="D9" i="1"/>
  <c r="E9" i="1" s="1"/>
  <c r="D4" i="1"/>
  <c r="E4" i="1" s="1"/>
  <c r="D6" i="1"/>
  <c r="E6" i="1" s="1"/>
  <c r="D5" i="1"/>
  <c r="E5" i="1" s="1"/>
  <c r="D3" i="1"/>
  <c r="E3" i="1" s="1"/>
  <c r="D2" i="1"/>
  <c r="E2" i="1" s="1"/>
</calcChain>
</file>

<file path=xl/sharedStrings.xml><?xml version="1.0" encoding="utf-8"?>
<sst xmlns="http://schemas.openxmlformats.org/spreadsheetml/2006/main" count="90" uniqueCount="58">
  <si>
    <t>Crawler</t>
  </si>
  <si>
    <t>Shuffler</t>
  </si>
  <si>
    <t>Dragster</t>
  </si>
  <si>
    <t>Zoom Zoo</t>
  </si>
  <si>
    <t xml:space="preserve">Bowl    </t>
  </si>
  <si>
    <t>Switcher</t>
  </si>
  <si>
    <t xml:space="preserve">Monster </t>
  </si>
  <si>
    <t xml:space="preserve">Looper  </t>
  </si>
  <si>
    <t>Megajump</t>
  </si>
  <si>
    <t xml:space="preserve">Jumps   </t>
  </si>
  <si>
    <t>Flat Fun</t>
  </si>
  <si>
    <t>Infinity</t>
  </si>
  <si>
    <t>Walker</t>
  </si>
  <si>
    <t>Hopper</t>
  </si>
  <si>
    <t>Jumper</t>
  </si>
  <si>
    <t>Bounder</t>
  </si>
  <si>
    <t>Runner</t>
  </si>
  <si>
    <t>Sprinter</t>
  </si>
  <si>
    <t>Hunter</t>
  </si>
  <si>
    <t xml:space="preserve">Dragrace  </t>
  </si>
  <si>
    <t xml:space="preserve">Pingpong  </t>
  </si>
  <si>
    <t>Hill Climb</t>
  </si>
  <si>
    <t xml:space="preserve">Hybrid    </t>
  </si>
  <si>
    <t xml:space="preserve">Short Cut </t>
  </si>
  <si>
    <t xml:space="preserve">Wario Paint </t>
  </si>
  <si>
    <t xml:space="preserve">Crock       </t>
  </si>
  <si>
    <t xml:space="preserve">Downer      </t>
  </si>
  <si>
    <t xml:space="preserve">East        </t>
  </si>
  <si>
    <t>Hairpin Hill</t>
  </si>
  <si>
    <t xml:space="preserve">Wobble   </t>
  </si>
  <si>
    <t xml:space="preserve">Twinpeak </t>
  </si>
  <si>
    <t xml:space="preserve">Skier    </t>
  </si>
  <si>
    <t xml:space="preserve">Loopback </t>
  </si>
  <si>
    <t>Small Cut</t>
  </si>
  <si>
    <t>Last One</t>
  </si>
  <si>
    <t>Marathon</t>
  </si>
  <si>
    <t xml:space="preserve">Circle  </t>
  </si>
  <si>
    <t xml:space="preserve">Plinkey </t>
  </si>
  <si>
    <t>Jumpover</t>
  </si>
  <si>
    <t xml:space="preserve">Down+Up    </t>
  </si>
  <si>
    <t xml:space="preserve">Highroad   </t>
  </si>
  <si>
    <t xml:space="preserve">Spine      </t>
  </si>
  <si>
    <t xml:space="preserve">Boo!       </t>
  </si>
  <si>
    <t>Fire Escape</t>
  </si>
  <si>
    <t xml:space="preserve">Vertical     </t>
  </si>
  <si>
    <t xml:space="preserve">Flash        </t>
  </si>
  <si>
    <t>Little Dipper</t>
  </si>
  <si>
    <t xml:space="preserve">Fruitbat     </t>
  </si>
  <si>
    <t xml:space="preserve">123 Jump     </t>
  </si>
  <si>
    <t xml:space="preserve">Griller    </t>
  </si>
  <si>
    <t xml:space="preserve">Two Loops  </t>
  </si>
  <si>
    <t xml:space="preserve">Neon       </t>
  </si>
  <si>
    <t xml:space="preserve">Hamster    </t>
  </si>
  <si>
    <t>To And Fro'</t>
  </si>
  <si>
    <t>Known Record</t>
  </si>
  <si>
    <t>TAS Time</t>
  </si>
  <si>
    <t>Difference</t>
  </si>
  <si>
    <t>%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</si>
</sst>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:ss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topLeftCell="A37" workbookViewId="0">
      <selection activeCell="C58" sqref="C58"/>
    </sheetView>
  </sheetViews>
  <sheetFormatPr defaultRowHeight="15" x14ac:dyDescent="0.25"/>
  <cols>
    <col min="1" max="1" width="12" bestFit="1" customWidth="1"/>
    <col min="2" max="2" width="13.85546875" bestFit="1" customWidth="1"/>
    <col min="4" max="4" width="10.42578125" bestFit="1" customWidth="1"/>
    <col min="5" max="5" width="15.28515625" bestFit="1" customWidth="1"/>
  </cols>
  <sheetData>
    <row r="1" spans="1:5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25">
      <c r="A2" t="s">
        <v>2</v>
      </c>
      <c r="B2" s="3">
        <v>2.8298611111111108E-4</v>
      </c>
      <c r="C2" s="3">
        <v>2.7094907407407406E-4</v>
      </c>
      <c r="D2" s="3">
        <f>B2-C2</f>
        <v>1.2037037037037018E-5</v>
      </c>
      <c r="E2">
        <f>D2/B2*100</f>
        <v>4.2535787321063339</v>
      </c>
    </row>
    <row r="3" spans="1:5" x14ac:dyDescent="0.25">
      <c r="A3" t="s">
        <v>3</v>
      </c>
      <c r="B3" s="3">
        <v>2.7777777777777778E-4</v>
      </c>
      <c r="C3" s="3">
        <v>2.6597222222222224E-4</v>
      </c>
      <c r="D3" s="3">
        <f>B3-C3</f>
        <v>1.1805555555555538E-5</v>
      </c>
      <c r="E3">
        <f>D3/B3*100</f>
        <v>4.2499999999999938</v>
      </c>
    </row>
    <row r="4" spans="1:5" x14ac:dyDescent="0.25">
      <c r="A4" t="s">
        <v>4</v>
      </c>
      <c r="B4">
        <v>681</v>
      </c>
      <c r="C4">
        <v>925</v>
      </c>
      <c r="D4" s="2">
        <f>C4-B4</f>
        <v>244</v>
      </c>
      <c r="E4">
        <f>D4/B4*100</f>
        <v>35.829662261380321</v>
      </c>
    </row>
    <row r="5" spans="1:5" x14ac:dyDescent="0.25">
      <c r="A5" t="s">
        <v>5</v>
      </c>
      <c r="B5" s="3">
        <v>7.3981481481481478E-4</v>
      </c>
      <c r="C5" s="3">
        <v>6.9988425925925936E-4</v>
      </c>
      <c r="D5" s="3">
        <f>B5-C5</f>
        <v>3.9930555555555422E-5</v>
      </c>
      <c r="E5">
        <f>D5/B5*100</f>
        <v>5.3973717146432865</v>
      </c>
    </row>
    <row r="6" spans="1:5" x14ac:dyDescent="0.25">
      <c r="A6" t="s">
        <v>6</v>
      </c>
      <c r="B6" s="3">
        <v>2.7858796296296296E-4</v>
      </c>
      <c r="C6" s="3">
        <v>2.3587962962962964E-4</v>
      </c>
      <c r="D6" s="3">
        <f>B6-C6</f>
        <v>4.2708333333333319E-5</v>
      </c>
      <c r="E6">
        <f>D6/B6*100</f>
        <v>15.330286663896961</v>
      </c>
    </row>
    <row r="8" spans="1:5" x14ac:dyDescent="0.25">
      <c r="A8" s="1" t="s">
        <v>1</v>
      </c>
      <c r="B8" s="1" t="s">
        <v>54</v>
      </c>
      <c r="C8" s="1" t="s">
        <v>55</v>
      </c>
      <c r="D8" s="1" t="s">
        <v>56</v>
      </c>
      <c r="E8" s="1" t="s">
        <v>57</v>
      </c>
    </row>
    <row r="9" spans="1:5" x14ac:dyDescent="0.25">
      <c r="A9" t="s">
        <v>7</v>
      </c>
      <c r="B9" s="3">
        <v>5.6574074074074079E-4</v>
      </c>
      <c r="C9" s="3"/>
      <c r="D9" s="3">
        <f>B9-C9</f>
        <v>5.6574074074074079E-4</v>
      </c>
      <c r="E9">
        <f>D9/B9*100</f>
        <v>100</v>
      </c>
    </row>
    <row r="10" spans="1:5" x14ac:dyDescent="0.25">
      <c r="A10" t="s">
        <v>8</v>
      </c>
      <c r="B10" s="3">
        <v>2.4502314814814818E-4</v>
      </c>
      <c r="C10" s="3"/>
      <c r="D10" s="3">
        <f>B10-C10</f>
        <v>2.4502314814814818E-4</v>
      </c>
      <c r="E10">
        <f>D10/B10*100</f>
        <v>100</v>
      </c>
    </row>
    <row r="11" spans="1:5" x14ac:dyDescent="0.25">
      <c r="A11" t="s">
        <v>9</v>
      </c>
      <c r="B11">
        <v>615</v>
      </c>
      <c r="D11" s="2">
        <f>C11-B11</f>
        <v>-615</v>
      </c>
      <c r="E11">
        <f>D11/B11*100</f>
        <v>-100</v>
      </c>
    </row>
    <row r="12" spans="1:5" x14ac:dyDescent="0.25">
      <c r="A12" t="s">
        <v>10</v>
      </c>
      <c r="B12" s="3">
        <v>6.7499999999999993E-4</v>
      </c>
      <c r="C12" s="3"/>
      <c r="D12" s="3">
        <f>B12-C12</f>
        <v>6.7499999999999993E-4</v>
      </c>
      <c r="E12">
        <f>D12/B12*100</f>
        <v>100</v>
      </c>
    </row>
    <row r="13" spans="1:5" x14ac:dyDescent="0.25">
      <c r="A13" t="s">
        <v>11</v>
      </c>
      <c r="B13" s="3">
        <v>7.3032407407407399E-5</v>
      </c>
      <c r="C13" s="3">
        <v>6.759259259259259E-5</v>
      </c>
      <c r="D13" s="3">
        <f>B13-C13</f>
        <v>5.439814814814809E-6</v>
      </c>
      <c r="E13">
        <f>D13/B13*100</f>
        <v>7.448494453248804</v>
      </c>
    </row>
    <row r="15" spans="1:5" x14ac:dyDescent="0.25">
      <c r="A15" s="1" t="s">
        <v>12</v>
      </c>
      <c r="B15" s="1" t="s">
        <v>54</v>
      </c>
      <c r="C15" s="1" t="s">
        <v>55</v>
      </c>
      <c r="D15" s="1" t="s">
        <v>56</v>
      </c>
      <c r="E15" s="1" t="s">
        <v>57</v>
      </c>
    </row>
    <row r="16" spans="1:5" x14ac:dyDescent="0.25">
      <c r="A16" t="s">
        <v>19</v>
      </c>
      <c r="B16" s="3">
        <v>4.060185185185185E-4</v>
      </c>
      <c r="C16" s="3"/>
      <c r="D16" s="3">
        <f>B16-C16</f>
        <v>4.060185185185185E-4</v>
      </c>
      <c r="E16">
        <f>D16/B16*100</f>
        <v>100</v>
      </c>
    </row>
    <row r="17" spans="1:5" x14ac:dyDescent="0.25">
      <c r="A17" t="s">
        <v>20</v>
      </c>
      <c r="B17" s="3">
        <v>2.3206018518518519E-4</v>
      </c>
      <c r="C17" s="3"/>
      <c r="D17" s="3">
        <f>B17-C17</f>
        <v>2.3206018518518519E-4</v>
      </c>
      <c r="E17">
        <f>D17/B17*100</f>
        <v>100</v>
      </c>
    </row>
    <row r="18" spans="1:5" x14ac:dyDescent="0.25">
      <c r="A18" t="s">
        <v>21</v>
      </c>
      <c r="B18">
        <v>655</v>
      </c>
      <c r="D18" s="2">
        <f>C18-B18</f>
        <v>-655</v>
      </c>
      <c r="E18">
        <f>D18/B18*100</f>
        <v>-100</v>
      </c>
    </row>
    <row r="19" spans="1:5" x14ac:dyDescent="0.25">
      <c r="A19" t="s">
        <v>22</v>
      </c>
      <c r="B19" s="3">
        <v>3.7210648148148145E-4</v>
      </c>
      <c r="C19" s="3"/>
      <c r="D19" s="3">
        <f>B19-C19</f>
        <v>3.7210648148148145E-4</v>
      </c>
      <c r="E19">
        <f>D19/B19*100</f>
        <v>100</v>
      </c>
    </row>
    <row r="20" spans="1:5" x14ac:dyDescent="0.25">
      <c r="A20" t="s">
        <v>23</v>
      </c>
      <c r="B20" s="3">
        <v>2.9513888888888889E-4</v>
      </c>
      <c r="C20" s="3"/>
      <c r="D20" s="3">
        <f>B20-C20</f>
        <v>2.9513888888888889E-4</v>
      </c>
      <c r="E20">
        <f>D20/B20*100</f>
        <v>100</v>
      </c>
    </row>
    <row r="22" spans="1:5" x14ac:dyDescent="0.25">
      <c r="A22" s="1" t="s">
        <v>13</v>
      </c>
      <c r="B22" s="1" t="s">
        <v>54</v>
      </c>
      <c r="C22" s="1" t="s">
        <v>55</v>
      </c>
      <c r="D22" s="1" t="s">
        <v>56</v>
      </c>
      <c r="E22" s="1" t="s">
        <v>57</v>
      </c>
    </row>
    <row r="23" spans="1:5" x14ac:dyDescent="0.25">
      <c r="A23" t="s">
        <v>24</v>
      </c>
      <c r="B23" s="3">
        <v>5.9282407407407406E-4</v>
      </c>
      <c r="C23" s="3"/>
      <c r="D23" s="3">
        <f>B23-C23</f>
        <v>5.9282407407407406E-4</v>
      </c>
      <c r="E23">
        <f>D23/B23*100</f>
        <v>100</v>
      </c>
    </row>
    <row r="24" spans="1:5" x14ac:dyDescent="0.25">
      <c r="A24" t="s">
        <v>25</v>
      </c>
      <c r="B24" s="3">
        <v>3.1909722222222224E-4</v>
      </c>
      <c r="C24" s="3"/>
      <c r="D24" s="3">
        <f>B24-C24</f>
        <v>3.1909722222222224E-4</v>
      </c>
      <c r="E24">
        <f>D24/B24*100</f>
        <v>100</v>
      </c>
    </row>
    <row r="25" spans="1:5" x14ac:dyDescent="0.25">
      <c r="A25" t="s">
        <v>26</v>
      </c>
      <c r="B25">
        <v>733</v>
      </c>
      <c r="D25" s="2">
        <f>C25-B25</f>
        <v>-733</v>
      </c>
      <c r="E25">
        <f>D25/B25*100</f>
        <v>-100</v>
      </c>
    </row>
    <row r="26" spans="1:5" x14ac:dyDescent="0.25">
      <c r="A26" t="s">
        <v>27</v>
      </c>
      <c r="B26" s="3">
        <v>6.7094907407407413E-4</v>
      </c>
      <c r="C26" s="3"/>
      <c r="D26" s="3">
        <f>B26-C26</f>
        <v>6.7094907407407413E-4</v>
      </c>
      <c r="E26">
        <f>D26/B26*100</f>
        <v>100</v>
      </c>
    </row>
    <row r="27" spans="1:5" x14ac:dyDescent="0.25">
      <c r="A27" t="s">
        <v>28</v>
      </c>
      <c r="B27" s="3">
        <v>1.3645833333333332E-4</v>
      </c>
      <c r="C27" s="3"/>
      <c r="D27" s="3">
        <f>B27-C27</f>
        <v>1.3645833333333332E-4</v>
      </c>
      <c r="E27">
        <f>D27/B27*100</f>
        <v>100</v>
      </c>
    </row>
    <row r="29" spans="1:5" x14ac:dyDescent="0.25">
      <c r="A29" s="1" t="s">
        <v>14</v>
      </c>
      <c r="B29" s="1" t="s">
        <v>54</v>
      </c>
      <c r="C29" s="1" t="s">
        <v>55</v>
      </c>
      <c r="D29" s="1" t="s">
        <v>56</v>
      </c>
      <c r="E29" s="1" t="s">
        <v>57</v>
      </c>
    </row>
    <row r="30" spans="1:5" x14ac:dyDescent="0.25">
      <c r="A30" t="s">
        <v>29</v>
      </c>
      <c r="B30" s="3">
        <v>5.1365740740740744E-4</v>
      </c>
      <c r="C30" s="3"/>
      <c r="D30" s="3">
        <f>B30-C30</f>
        <v>5.1365740740740744E-4</v>
      </c>
      <c r="E30">
        <f>D30/B30*100</f>
        <v>100</v>
      </c>
    </row>
    <row r="31" spans="1:5" x14ac:dyDescent="0.25">
      <c r="A31" t="s">
        <v>30</v>
      </c>
      <c r="B31" s="3">
        <v>4.2789351851851848E-4</v>
      </c>
      <c r="C31" s="3"/>
      <c r="D31" s="3">
        <f>B31-C31</f>
        <v>4.2789351851851848E-4</v>
      </c>
      <c r="E31">
        <f>D31/B31*100</f>
        <v>100</v>
      </c>
    </row>
    <row r="32" spans="1:5" x14ac:dyDescent="0.25">
      <c r="A32" t="s">
        <v>31</v>
      </c>
      <c r="B32">
        <v>552</v>
      </c>
      <c r="D32" s="2">
        <f>C32-B32</f>
        <v>-552</v>
      </c>
      <c r="E32">
        <f>D32/B32*100</f>
        <v>-100</v>
      </c>
    </row>
    <row r="33" spans="1:5" x14ac:dyDescent="0.25">
      <c r="A33" t="s">
        <v>32</v>
      </c>
      <c r="B33" s="3">
        <v>4.2499999999999998E-4</v>
      </c>
      <c r="C33" s="3"/>
      <c r="D33" s="3">
        <f>B33-C33</f>
        <v>4.2499999999999998E-4</v>
      </c>
      <c r="E33">
        <f>D33/B33*100</f>
        <v>100</v>
      </c>
    </row>
    <row r="34" spans="1:5" x14ac:dyDescent="0.25">
      <c r="A34" t="s">
        <v>33</v>
      </c>
      <c r="B34" s="3">
        <v>1.6527777777777775E-4</v>
      </c>
      <c r="C34" s="3"/>
      <c r="D34" s="3">
        <f>B34-C34</f>
        <v>1.6527777777777775E-4</v>
      </c>
      <c r="E34">
        <f>D34/B34*100</f>
        <v>100</v>
      </c>
    </row>
    <row r="36" spans="1:5" x14ac:dyDescent="0.25">
      <c r="A36" s="1" t="s">
        <v>15</v>
      </c>
      <c r="B36" s="1" t="s">
        <v>54</v>
      </c>
      <c r="C36" s="1" t="s">
        <v>55</v>
      </c>
      <c r="D36" s="1" t="s">
        <v>56</v>
      </c>
      <c r="E36" s="1" t="s">
        <v>57</v>
      </c>
    </row>
    <row r="37" spans="1:5" x14ac:dyDescent="0.25">
      <c r="A37" t="s">
        <v>34</v>
      </c>
      <c r="B37" s="3">
        <v>4.1851851851851843E-4</v>
      </c>
      <c r="C37" s="3"/>
      <c r="D37" s="3">
        <f>B37-C37</f>
        <v>4.1851851851851843E-4</v>
      </c>
      <c r="E37">
        <f>D37/B37*100</f>
        <v>100</v>
      </c>
    </row>
    <row r="38" spans="1:5" x14ac:dyDescent="0.25">
      <c r="A38" t="s">
        <v>35</v>
      </c>
      <c r="B38" s="3">
        <v>2.7488425925925928E-4</v>
      </c>
      <c r="C38" s="3"/>
      <c r="D38" s="3">
        <f>B38-C38</f>
        <v>2.7488425925925928E-4</v>
      </c>
      <c r="E38">
        <f>D38/B38*100</f>
        <v>100</v>
      </c>
    </row>
    <row r="39" spans="1:5" x14ac:dyDescent="0.25">
      <c r="A39" t="s">
        <v>36</v>
      </c>
      <c r="B39">
        <v>582</v>
      </c>
      <c r="D39" s="2">
        <f>C39-B39</f>
        <v>-582</v>
      </c>
      <c r="E39">
        <f>D39/B39*100</f>
        <v>-100</v>
      </c>
    </row>
    <row r="40" spans="1:5" x14ac:dyDescent="0.25">
      <c r="A40" t="s">
        <v>37</v>
      </c>
      <c r="B40" s="3">
        <v>3.6655092592592598E-4</v>
      </c>
      <c r="C40" s="3"/>
      <c r="D40" s="3">
        <f>B40-C40</f>
        <v>3.6655092592592598E-4</v>
      </c>
      <c r="E40">
        <f>D40/B40*100</f>
        <v>100</v>
      </c>
    </row>
    <row r="41" spans="1:5" x14ac:dyDescent="0.25">
      <c r="A41" t="s">
        <v>38</v>
      </c>
      <c r="B41" s="3">
        <v>1.8472222222222222E-4</v>
      </c>
      <c r="C41" s="3"/>
      <c r="D41" s="3">
        <f>B41-C41</f>
        <v>1.8472222222222222E-4</v>
      </c>
      <c r="E41">
        <f>D41/B41*100</f>
        <v>100</v>
      </c>
    </row>
    <row r="43" spans="1:5" x14ac:dyDescent="0.25">
      <c r="A43" s="1" t="s">
        <v>16</v>
      </c>
      <c r="B43" s="1" t="s">
        <v>54</v>
      </c>
      <c r="C43" s="1" t="s">
        <v>55</v>
      </c>
      <c r="D43" s="1" t="s">
        <v>56</v>
      </c>
      <c r="E43" s="1" t="s">
        <v>57</v>
      </c>
    </row>
    <row r="44" spans="1:5" x14ac:dyDescent="0.25">
      <c r="A44" t="s">
        <v>39</v>
      </c>
      <c r="B44" s="3">
        <v>4.0798611111111114E-4</v>
      </c>
      <c r="C44" s="3"/>
      <c r="D44" s="3">
        <f>B44-C44</f>
        <v>4.0798611111111114E-4</v>
      </c>
      <c r="E44">
        <f>D44/B44*100</f>
        <v>100</v>
      </c>
    </row>
    <row r="45" spans="1:5" x14ac:dyDescent="0.25">
      <c r="A45" t="s">
        <v>40</v>
      </c>
      <c r="B45" s="3">
        <v>1.8055555555555555E-4</v>
      </c>
      <c r="C45" s="3"/>
      <c r="D45" s="3">
        <f>B45-C45</f>
        <v>1.8055555555555555E-4</v>
      </c>
      <c r="E45">
        <f>D45/B45*100</f>
        <v>100</v>
      </c>
    </row>
    <row r="46" spans="1:5" x14ac:dyDescent="0.25">
      <c r="A46" t="s">
        <v>41</v>
      </c>
      <c r="B46">
        <v>576</v>
      </c>
      <c r="D46" s="2">
        <f>C46-B46</f>
        <v>-576</v>
      </c>
      <c r="E46">
        <f>D46/B46*100</f>
        <v>-100</v>
      </c>
    </row>
    <row r="47" spans="1:5" x14ac:dyDescent="0.25">
      <c r="A47" t="s">
        <v>42</v>
      </c>
      <c r="B47" s="3">
        <v>4.5162037037037046E-4</v>
      </c>
      <c r="C47" s="3"/>
      <c r="D47" s="3">
        <f>B47-C47</f>
        <v>4.5162037037037046E-4</v>
      </c>
      <c r="E47">
        <f>D47/B47*100</f>
        <v>100</v>
      </c>
    </row>
    <row r="48" spans="1:5" x14ac:dyDescent="0.25">
      <c r="A48" t="s">
        <v>43</v>
      </c>
      <c r="B48" s="3">
        <v>9.8842592592592577E-5</v>
      </c>
      <c r="C48" s="3"/>
      <c r="D48" s="3">
        <f>B48-C48</f>
        <v>9.8842592592592577E-5</v>
      </c>
      <c r="E48">
        <f>D48/B48*100</f>
        <v>100</v>
      </c>
    </row>
    <row r="50" spans="1:5" x14ac:dyDescent="0.25">
      <c r="A50" s="1" t="s">
        <v>17</v>
      </c>
      <c r="B50" s="1" t="s">
        <v>54</v>
      </c>
      <c r="C50" s="1" t="s">
        <v>55</v>
      </c>
      <c r="D50" s="1" t="s">
        <v>56</v>
      </c>
      <c r="E50" s="1" t="s">
        <v>57</v>
      </c>
    </row>
    <row r="51" spans="1:5" x14ac:dyDescent="0.25">
      <c r="A51" t="s">
        <v>44</v>
      </c>
      <c r="B51" s="3">
        <v>6.9872685185185185E-4</v>
      </c>
      <c r="C51" s="3"/>
      <c r="D51" s="3">
        <f>B51-C51</f>
        <v>6.9872685185185185E-4</v>
      </c>
      <c r="E51">
        <f>D51/B51*100</f>
        <v>100</v>
      </c>
    </row>
    <row r="52" spans="1:5" x14ac:dyDescent="0.25">
      <c r="A52" t="s">
        <v>45</v>
      </c>
      <c r="B52" s="3">
        <v>2.1284722222222224E-4</v>
      </c>
      <c r="C52" s="3"/>
      <c r="D52" s="3">
        <f>B52-C52</f>
        <v>2.1284722222222224E-4</v>
      </c>
      <c r="E52">
        <f>D52/B52*100</f>
        <v>100</v>
      </c>
    </row>
    <row r="53" spans="1:5" x14ac:dyDescent="0.25">
      <c r="A53" t="s">
        <v>46</v>
      </c>
      <c r="B53">
        <v>654</v>
      </c>
      <c r="D53" s="2">
        <f>C53-B53</f>
        <v>-654</v>
      </c>
      <c r="E53">
        <f>D53/B53*100</f>
        <v>-100</v>
      </c>
    </row>
    <row r="54" spans="1:5" x14ac:dyDescent="0.25">
      <c r="A54" t="s">
        <v>47</v>
      </c>
      <c r="B54" s="3">
        <v>4.6354166666666663E-4</v>
      </c>
      <c r="C54" s="3"/>
      <c r="D54" s="3">
        <f>B54-C54</f>
        <v>4.6354166666666663E-4</v>
      </c>
      <c r="E54">
        <f>D54/B54*100</f>
        <v>100</v>
      </c>
    </row>
    <row r="55" spans="1:5" x14ac:dyDescent="0.25">
      <c r="A55" t="s">
        <v>48</v>
      </c>
      <c r="B55" s="3">
        <v>3.949074074074074E-4</v>
      </c>
      <c r="C55" s="3"/>
      <c r="D55" s="3">
        <f>B55-C55</f>
        <v>3.949074074074074E-4</v>
      </c>
      <c r="E55">
        <f>D55/B55*100</f>
        <v>100</v>
      </c>
    </row>
    <row r="57" spans="1:5" x14ac:dyDescent="0.25">
      <c r="A57" s="1" t="s">
        <v>18</v>
      </c>
      <c r="B57" s="1" t="s">
        <v>54</v>
      </c>
      <c r="C57" s="1" t="s">
        <v>55</v>
      </c>
      <c r="D57" s="1" t="s">
        <v>56</v>
      </c>
      <c r="E57" s="1" t="s">
        <v>57</v>
      </c>
    </row>
    <row r="58" spans="1:5" x14ac:dyDescent="0.25">
      <c r="A58" t="s">
        <v>49</v>
      </c>
      <c r="B58" s="3">
        <v>7.3900462962962971E-4</v>
      </c>
      <c r="C58" s="3">
        <v>7.2280092592592589E-4</v>
      </c>
      <c r="D58" s="3">
        <f>B58-C58</f>
        <v>1.6203703703703823E-5</v>
      </c>
      <c r="E58">
        <f>D58/B58*100</f>
        <v>2.1926389976507599</v>
      </c>
    </row>
    <row r="59" spans="1:5" x14ac:dyDescent="0.25">
      <c r="A59" t="s">
        <v>50</v>
      </c>
      <c r="B59" s="3">
        <v>1.579861111111111E-4</v>
      </c>
      <c r="C59" s="3"/>
      <c r="D59" s="3">
        <f>B59-C59</f>
        <v>1.579861111111111E-4</v>
      </c>
      <c r="E59">
        <f>D59/B59*100</f>
        <v>100</v>
      </c>
    </row>
    <row r="60" spans="1:5" x14ac:dyDescent="0.25">
      <c r="A60" t="s">
        <v>51</v>
      </c>
      <c r="B60">
        <v>592</v>
      </c>
      <c r="D60" s="2">
        <f>C60-B60</f>
        <v>-592</v>
      </c>
      <c r="E60">
        <f>D60/B60*100</f>
        <v>-100</v>
      </c>
    </row>
    <row r="61" spans="1:5" x14ac:dyDescent="0.25">
      <c r="A61" t="s">
        <v>52</v>
      </c>
      <c r="B61" s="3">
        <v>4.2106481481481487E-4</v>
      </c>
      <c r="C61" s="3"/>
      <c r="D61" s="3">
        <f>B61-C61</f>
        <v>4.2106481481481487E-4</v>
      </c>
      <c r="E61">
        <f>D61/B61*100</f>
        <v>100</v>
      </c>
    </row>
    <row r="62" spans="1:5" x14ac:dyDescent="0.25">
      <c r="A62" t="s">
        <v>53</v>
      </c>
      <c r="B62" s="3">
        <v>1.7083333333333336E-4</v>
      </c>
      <c r="C62" s="3">
        <v>1.615740740740741E-4</v>
      </c>
      <c r="D62" s="3">
        <f>B62-C62</f>
        <v>9.2592592592592574E-6</v>
      </c>
      <c r="E62">
        <f>D62/B62*100</f>
        <v>5.4200542005420038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Dessyreqt</dc:creator>
  <cp:lastModifiedBy>Dessyreqt</cp:lastModifiedBy>
  <dcterms:created xsi:type="dcterms:W3CDTF">2010-08-20T08:19:07Z</dcterms:created>
  <dcterms:modified xsi:type="dcterms:W3CDTF">2020-05-17T09:01:19Z</dcterms:modified>
</cp:coreProperties>
</file>